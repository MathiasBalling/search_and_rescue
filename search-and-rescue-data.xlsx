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lling/projects/search_and_rescue/"/>
    </mc:Choice>
  </mc:AlternateContent>
  <xr:revisionPtr revIDLastSave="0" documentId="13_ncr:1_{8213AA2A-562B-E44F-9804-D47C1F3BEE70}" xr6:coauthVersionLast="47" xr6:coauthVersionMax="47" xr10:uidLastSave="{00000000-0000-0000-0000-000000000000}"/>
  <bookViews>
    <workbookView xWindow="200" yWindow="700" windowWidth="38000" windowHeight="20680" activeTab="2" xr2:uid="{3B429D3A-EB2F-A445-87C7-E08B16BA06FE}"/>
  </bookViews>
  <sheets>
    <sheet name="dirty wheel" sheetId="1" r:id="rId1"/>
    <sheet name="Rene dæk" sheetId="3" r:id="rId2"/>
    <sheet name="Wheel condition" sheetId="2" r:id="rId3"/>
  </sheets>
  <definedNames>
    <definedName name="_xlchart.v1.0" hidden="1">'Rene dæk'!$A$60</definedName>
    <definedName name="_xlchart.v1.1" hidden="1">'Rene dæk'!$A$61</definedName>
    <definedName name="_xlchart.v1.10" hidden="1">'Rene dæk'!$B$61:$H$61</definedName>
    <definedName name="_xlchart.v1.11" hidden="1">'Rene dæk'!$B$62:$H$62</definedName>
    <definedName name="_xlchart.v1.12" hidden="1">'Rene dæk'!$B$60:$H$60</definedName>
    <definedName name="_xlchart.v1.13" hidden="1">'Rene dæk'!$B$61:$H$61</definedName>
    <definedName name="_xlchart.v1.14" hidden="1">'Rene dæk'!$B$62:$H$62</definedName>
    <definedName name="_xlchart.v1.15" hidden="1">'Rene dæk'!$A$60</definedName>
    <definedName name="_xlchart.v1.16" hidden="1">'Rene dæk'!$A$61</definedName>
    <definedName name="_xlchart.v1.17" hidden="1">'Rene dæk'!$A$62</definedName>
    <definedName name="_xlchart.v1.18" hidden="1">'Rene dæk'!$B$60:$H$60</definedName>
    <definedName name="_xlchart.v1.19" hidden="1">'Rene dæk'!$B$61:$H$61</definedName>
    <definedName name="_xlchart.v1.2" hidden="1">'Rene dæk'!$A$62</definedName>
    <definedName name="_xlchart.v1.20" hidden="1">'Rene dæk'!$B$62:$H$62</definedName>
    <definedName name="_xlchart.v1.21" hidden="1">'Rene dæk'!$A$60</definedName>
    <definedName name="_xlchart.v1.22" hidden="1">'Rene dæk'!$A$61</definedName>
    <definedName name="_xlchart.v1.23" hidden="1">'Rene dæk'!$A$62</definedName>
    <definedName name="_xlchart.v1.24" hidden="1">'Rene dæk'!$B$60:$H$60</definedName>
    <definedName name="_xlchart.v1.25" hidden="1">'Rene dæk'!$B$61:$H$61</definedName>
    <definedName name="_xlchart.v1.26" hidden="1">'Rene dæk'!$B$62:$H$62</definedName>
    <definedName name="_xlchart.v1.27" hidden="1">'Rene dæk'!$A$60</definedName>
    <definedName name="_xlchart.v1.28" hidden="1">'Rene dæk'!$A$60:$A$62</definedName>
    <definedName name="_xlchart.v1.29" hidden="1">'Rene dæk'!$A$61</definedName>
    <definedName name="_xlchart.v1.3" hidden="1">'Rene dæk'!$B$60:$H$60</definedName>
    <definedName name="_xlchart.v1.30" hidden="1">'Rene dæk'!$A$62</definedName>
    <definedName name="_xlchart.v1.31" hidden="1">'Rene dæk'!$B$60:$H$60</definedName>
    <definedName name="_xlchart.v1.32" hidden="1">'Rene dæk'!$B$61:$H$61</definedName>
    <definedName name="_xlchart.v1.33" hidden="1">'Rene dæk'!$B$62:$H$62</definedName>
    <definedName name="_xlchart.v1.4" hidden="1">'Rene dæk'!$B$61:$H$61</definedName>
    <definedName name="_xlchart.v1.5" hidden="1">'Rene dæk'!$B$62:$H$62</definedName>
    <definedName name="_xlchart.v1.6" hidden="1">'Rene dæk'!$A$60</definedName>
    <definedName name="_xlchart.v1.7" hidden="1">'Rene dæk'!$A$61</definedName>
    <definedName name="_xlchart.v1.8" hidden="1">'Rene dæk'!$A$62</definedName>
    <definedName name="_xlchart.v1.9" hidden="1">'Rene dæk'!$B$60:$H$60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" i="3" l="1"/>
  <c r="G60" i="3"/>
  <c r="F60" i="3"/>
  <c r="D62" i="3"/>
  <c r="E62" i="3"/>
  <c r="F62" i="3"/>
  <c r="G62" i="3"/>
  <c r="H62" i="3"/>
  <c r="C62" i="3"/>
  <c r="C42" i="3" a="1"/>
  <c r="C42" i="3" s="1"/>
  <c r="C41" i="3" a="1"/>
  <c r="C41" i="3" s="1"/>
  <c r="C40" i="3" a="1"/>
  <c r="C40" i="3" s="1"/>
  <c r="E42" i="3"/>
  <c r="E41" i="3"/>
  <c r="E40" i="3"/>
  <c r="D42" i="3"/>
  <c r="D41" i="3"/>
  <c r="D40" i="3"/>
  <c r="B42" i="3"/>
  <c r="B41" i="3"/>
  <c r="B40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<sst xmlns="http://schemas.openxmlformats.org/spreadsheetml/2006/main" count="170" uniqueCount="47">
  <si>
    <t>Completed Run</t>
  </si>
  <si>
    <t>0.175</t>
  </si>
  <si>
    <t>0.2</t>
  </si>
  <si>
    <t>0.275</t>
  </si>
  <si>
    <t>Run Time (s)</t>
  </si>
  <si>
    <t>Base Speed (m/s)</t>
  </si>
  <si>
    <t>123.4</t>
  </si>
  <si>
    <t>Failure at the end right before can.</t>
  </si>
  <si>
    <t>Failure location</t>
  </si>
  <si>
    <t>Failure Reason</t>
  </si>
  <si>
    <t>Failure at ramp turn.</t>
  </si>
  <si>
    <t>Might be because of sensor height from ground</t>
  </si>
  <si>
    <t xml:space="preserve">Failure at ramp turn. </t>
  </si>
  <si>
    <t>Failure at first sharp turn.</t>
  </si>
  <si>
    <t>Failure at first round turn.</t>
  </si>
  <si>
    <t>Found dot lines and turned back</t>
  </si>
  <si>
    <t>Turned wrong direction</t>
  </si>
  <si>
    <t>124.0</t>
  </si>
  <si>
    <t>Turns and finds line instead of can detect</t>
  </si>
  <si>
    <t>116.2</t>
  </si>
  <si>
    <t>Success</t>
  </si>
  <si>
    <t>Rubber bands</t>
  </si>
  <si>
    <t>Clean wheels</t>
  </si>
  <si>
    <t>Dirty wheels</t>
  </si>
  <si>
    <t>0.125</t>
  </si>
  <si>
    <t>First turn</t>
  </si>
  <si>
    <t>First u-turn</t>
  </si>
  <si>
    <t xml:space="preserve">End of map </t>
  </si>
  <si>
    <t>can detect saw line</t>
  </si>
  <si>
    <t>First sharp turn</t>
  </si>
  <si>
    <t>Turned wrong direction and lost line</t>
  </si>
  <si>
    <t>Going down last ramp at sharp turn</t>
  </si>
  <si>
    <t>on the way back from can pick up on u turn it saw line and made a loop and failed</t>
  </si>
  <si>
    <t>End of map - u turn</t>
  </si>
  <si>
    <t xml:space="preserve">Turned wrong direction and saw line </t>
  </si>
  <si>
    <t>Saw dotted line at first u turn</t>
  </si>
  <si>
    <t>can detect fail</t>
  </si>
  <si>
    <t>Wheel type</t>
  </si>
  <si>
    <t>Base Speed</t>
  </si>
  <si>
    <t>Completed Runs</t>
  </si>
  <si>
    <t>Average Run Time</t>
  </si>
  <si>
    <t>Max Run Time</t>
  </si>
  <si>
    <t>Min Run Time</t>
  </si>
  <si>
    <t>T1</t>
  </si>
  <si>
    <t>T2</t>
  </si>
  <si>
    <t>T3</t>
  </si>
  <si>
    <t>Wheel condiiton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</si>
</sst>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1" xfId="1" applyAlignment="1">
      <alignment horizontal="center"/>
    </xf>
    <xf numFmtId="0" fontId="1" fillId="0" borderId="0" xfId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NumberFormat="1" applyAlignment="1">
      <alignment horizontal="center"/>
    </xf>
  </cellXfs>
  <cellStyles count="2">
    <cellStyle name="Heading 1" xfId="1" builtinId="1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Successes on Base</a:t>
            </a:r>
            <a:r>
              <a:rPr lang="en-US" baseline="0"/>
              <a:t> Speed - 10 Runs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'Rene dæk'!$A$40:$A$42</c:f>
              <c:numCache>
                <c:formatCode>General</c:formatCode>
                <c:ptCount val="3"/>
                <c:pt idx="0">
                  <c:v>0.125</c:v>
                </c:pt>
                <c:pt idx="1">
                  <c:v>0.2</c:v>
                </c:pt>
                <c:pt idx="2">
                  <c:v>0.27500000000000002</c:v>
                </c:pt>
              </c:numCache>
            </c:numRef>
          </c:cat>
          <c:val>
            <c:numRef>
              <c:f>'Rene dæk'!$B$40:$B$42</c:f>
              <c:numCache>
                <c:formatCode>General</c:formatCode>
                <c:ptCount val="3"/>
                <c:pt idx="0">
                  <c:v>4</c:v>
                </c:pt>
                <c:pt idx="1">
                  <c:v>7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BE-EB4E-BAD0-3BF8519AB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89946368"/>
        <c:axId val="1447305088"/>
      </c:barChart>
      <c:catAx>
        <c:axId val="14899463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Base</a:t>
                </a:r>
                <a:r>
                  <a:rPr lang="en-US" b="1" baseline="0"/>
                  <a:t> Speed (m/s)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305088"/>
        <c:crosses val="autoZero"/>
        <c:auto val="1"/>
        <c:lblAlgn val="ctr"/>
        <c:lblOffset val="100"/>
        <c:noMultiLvlLbl val="0"/>
      </c:catAx>
      <c:valAx>
        <c:axId val="144730508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Successes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9946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Successes on</a:t>
            </a:r>
            <a:r>
              <a:rPr lang="en-US" baseline="0"/>
              <a:t> Ramp</a:t>
            </a:r>
            <a:r>
              <a:rPr lang="en-US"/>
              <a:t> - 10 Runs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'Wheel condition'!$B$2</c:f>
              <c:strCache>
                <c:ptCount val="1"/>
                <c:pt idx="0">
                  <c:v>Success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'Wheel condition'!$A$3:$A$5</c:f>
              <c:strCache>
                <c:ptCount val="3"/>
                <c:pt idx="0">
                  <c:v>Dirty wheels</c:v>
                </c:pt>
                <c:pt idx="1">
                  <c:v>Clean wheels</c:v>
                </c:pt>
                <c:pt idx="2">
                  <c:v>Rubber bands</c:v>
                </c:pt>
              </c:strCache>
            </c:strRef>
          </c:cat>
          <c:val>
            <c:numRef>
              <c:f>'Wheel condition'!$B$3:$B$5</c:f>
              <c:numCache>
                <c:formatCode>General</c:formatCode>
                <c:ptCount val="3"/>
                <c:pt idx="0">
                  <c:v>2</c:v>
                </c:pt>
                <c:pt idx="1">
                  <c:v>8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2B-2D42-8400-717919999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43857280"/>
        <c:axId val="1443856384"/>
      </c:barChart>
      <c:catAx>
        <c:axId val="14438572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Wheel</a:t>
                </a:r>
                <a:r>
                  <a:rPr lang="en-US" b="1" baseline="0"/>
                  <a:t> Condition</a:t>
                </a:r>
                <a:endParaRPr lang="en-US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856384"/>
        <c:crosses val="autoZero"/>
        <c:auto val="1"/>
        <c:lblAlgn val="ctr"/>
        <c:lblOffset val="100"/>
        <c:noMultiLvlLbl val="0"/>
      </c:catAx>
      <c:valAx>
        <c:axId val="144385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Successes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857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_xlchart.v1.3</cx:f>
      </cx:numDim>
    </cx:data>
    <cx:data id="1">
      <cx:numDim type="val">
        <cx:f dir="row">_xlchart.v1.4</cx:f>
      </cx:numDim>
    </cx:data>
    <cx:data id="2">
      <cx:numDim type="val">
        <cx:f dir="row">_xlchart.v1.5</cx:f>
      </cx:numDim>
    </cx:data>
  </cx:chartData>
  <cx:chart>
    <cx:title pos="t" align="ctr" overlay="0"/>
    <cx:plotArea>
      <cx:plotAreaRegion>
        <cx:series layoutId="boxWhisker" uniqueId="{F3B5C8E2-48F7-F14D-A9E3-A53A3F465F46}">
          <cx:tx>
            <cx:txData>
              <cx:f>_xlchart.v1.0</cx:f>
              <cx:v>T1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  <cx:series layoutId="boxWhisker" uniqueId="{331216E0-FD93-A54B-99B2-C339E72F386A}">
          <cx:tx>
            <cx:txData>
              <cx:f>_xlchart.v1.1</cx:f>
              <cx:v>T2</cx:v>
            </cx:txData>
          </cx:tx>
          <cx:dataId val="1"/>
          <cx:layoutPr>
            <cx:visibility meanLine="0" meanMarker="1" nonoutliers="0" outliers="1"/>
            <cx:statistics quartileMethod="exclusive"/>
          </cx:layoutPr>
        </cx:series>
        <cx:series layoutId="boxWhisker" uniqueId="{14CD7055-39F1-0C41-B11C-0E95BF4F76D1}">
          <cx:tx>
            <cx:txData>
              <cx:f>_xlchart.v1.2</cx:f>
              <cx:v>T3</cx:v>
            </cx:txData>
          </cx:tx>
          <cx:dataId val="2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1295400</xdr:colOff>
      <xdr:row>43</xdr:row>
      <xdr:rowOff>165100</xdr:rowOff>
    </xdr:from>
    <xdr:to>
      <xdr:col>2</xdr:col>
      <xdr:colOff>1803400</xdr:colOff>
      <xdr:row>57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EC0AF10-44AE-45C5-8759-501C70AE14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3039534</xdr:colOff>
      <xdr:row>65</xdr:row>
      <xdr:rowOff>160866</xdr:rowOff>
    </xdr:from>
    <xdr:to>
      <xdr:col>4</xdr:col>
      <xdr:colOff>3716867</xdr:colOff>
      <xdr:row>79</xdr:row>
      <xdr:rowOff>59266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6E94952B-1CDA-3F68-7DEE-4758662682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355667" y="13453533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1330872</xdr:colOff>
      <xdr:row>7</xdr:row>
      <xdr:rowOff>197223</xdr:rowOff>
    </xdr:from>
    <xdr:to>
      <xdr:col>6</xdr:col>
      <xdr:colOff>113858</xdr:colOff>
      <xdr:row>21</xdr:row>
      <xdr:rowOff>11952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722A6B5-986A-3AE2-A232-6A06C61EB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A6925-87CE-DE4B-AEDE-0C59A855F78E}">
  <dimension ref="A1:F21"/>
  <sheetViews>
    <sheetView zoomScale="75" workbookViewId="0">
      <selection activeCell="B20" sqref="B20"/>
    </sheetView>
  </sheetViews>
  <sheetFormatPr baseColWidth="10" defaultRowHeight="16" x14ac:dyDescent="0.2"/>
  <cols>
    <col min="1" max="2" width="21.5" style="1" customWidth="1"/>
    <col min="3" max="3" width="21.6640625" style="1" customWidth="1"/>
    <col min="4" max="4" width="68.83203125" customWidth="1"/>
    <col min="5" max="5" width="40.6640625" customWidth="1"/>
    <col min="6" max="6" width="38.1640625" customWidth="1"/>
  </cols>
  <sheetData>
    <row r="1" spans="1:6" ht="21" thickBot="1" x14ac:dyDescent="0.3">
      <c r="A1" s="2" t="s">
        <v>4</v>
      </c>
      <c r="B1" s="2" t="s">
        <v>0</v>
      </c>
      <c r="C1" s="2" t="s">
        <v>5</v>
      </c>
      <c r="D1" s="3" t="s">
        <v>8</v>
      </c>
      <c r="E1" s="3" t="s">
        <v>9</v>
      </c>
      <c r="F1" s="3"/>
    </row>
    <row r="2" spans="1:6" ht="17" thickTop="1" x14ac:dyDescent="0.2">
      <c r="A2" s="1" t="s">
        <v>6</v>
      </c>
      <c r="B2" s="1">
        <v>1</v>
      </c>
      <c r="C2" s="1">
        <v>0.17499999999999999</v>
      </c>
      <c r="D2" t="s">
        <v>10</v>
      </c>
      <c r="E2" t="s">
        <v>11</v>
      </c>
    </row>
    <row r="3" spans="1:6" x14ac:dyDescent="0.2">
      <c r="B3" s="1">
        <v>0</v>
      </c>
      <c r="C3" s="1" t="s">
        <v>1</v>
      </c>
      <c r="D3" t="s">
        <v>12</v>
      </c>
      <c r="E3" t="s">
        <v>11</v>
      </c>
    </row>
    <row r="4" spans="1:6" x14ac:dyDescent="0.2">
      <c r="B4" s="1">
        <v>0</v>
      </c>
      <c r="C4" s="1" t="s">
        <v>1</v>
      </c>
      <c r="D4" t="s">
        <v>7</v>
      </c>
      <c r="E4" t="s">
        <v>18</v>
      </c>
    </row>
    <row r="5" spans="1:6" x14ac:dyDescent="0.2">
      <c r="B5" s="1">
        <v>0</v>
      </c>
      <c r="C5" s="1" t="s">
        <v>1</v>
      </c>
      <c r="D5" t="s">
        <v>7</v>
      </c>
      <c r="E5" t="s">
        <v>18</v>
      </c>
    </row>
    <row r="6" spans="1:6" x14ac:dyDescent="0.2">
      <c r="B6" s="1">
        <v>0</v>
      </c>
      <c r="C6" s="1" t="s">
        <v>1</v>
      </c>
      <c r="D6" t="s">
        <v>12</v>
      </c>
      <c r="E6" t="s">
        <v>11</v>
      </c>
    </row>
    <row r="7" spans="1:6" x14ac:dyDescent="0.2">
      <c r="B7" s="1">
        <v>0</v>
      </c>
      <c r="C7" s="1" t="s">
        <v>1</v>
      </c>
      <c r="D7" t="s">
        <v>14</v>
      </c>
      <c r="E7" t="s">
        <v>15</v>
      </c>
    </row>
    <row r="8" spans="1:6" x14ac:dyDescent="0.2">
      <c r="B8" s="1">
        <v>0</v>
      </c>
      <c r="C8" s="1" t="s">
        <v>1</v>
      </c>
      <c r="D8" t="s">
        <v>10</v>
      </c>
      <c r="E8" t="s">
        <v>11</v>
      </c>
    </row>
    <row r="9" spans="1:6" x14ac:dyDescent="0.2">
      <c r="B9" s="1">
        <v>0</v>
      </c>
      <c r="C9" s="1" t="s">
        <v>1</v>
      </c>
      <c r="D9" t="s">
        <v>13</v>
      </c>
      <c r="E9" t="s">
        <v>16</v>
      </c>
      <c r="F9" s="1"/>
    </row>
    <row r="10" spans="1:6" x14ac:dyDescent="0.2">
      <c r="B10" s="1">
        <v>0</v>
      </c>
      <c r="C10" s="1" t="s">
        <v>1</v>
      </c>
      <c r="F10" s="1"/>
    </row>
    <row r="11" spans="1:6" x14ac:dyDescent="0.2">
      <c r="A11" s="1" t="s">
        <v>17</v>
      </c>
      <c r="B11" s="1">
        <v>1</v>
      </c>
      <c r="C11" s="1" t="s">
        <v>1</v>
      </c>
      <c r="D11" t="s">
        <v>7</v>
      </c>
      <c r="E11" t="s">
        <v>18</v>
      </c>
      <c r="F11" s="1"/>
    </row>
    <row r="12" spans="1:6" x14ac:dyDescent="0.2">
      <c r="B12" s="1">
        <v>0</v>
      </c>
      <c r="C12" s="1" t="s">
        <v>2</v>
      </c>
      <c r="D12" t="s">
        <v>10</v>
      </c>
      <c r="E12" t="s">
        <v>11</v>
      </c>
      <c r="F12" s="1"/>
    </row>
    <row r="13" spans="1:6" x14ac:dyDescent="0.2">
      <c r="B13" s="1">
        <v>0</v>
      </c>
      <c r="C13" s="1" t="s">
        <v>2</v>
      </c>
      <c r="F13" s="1"/>
    </row>
    <row r="14" spans="1:6" x14ac:dyDescent="0.2">
      <c r="A14" s="1" t="s">
        <v>19</v>
      </c>
      <c r="B14" s="1">
        <v>1</v>
      </c>
      <c r="C14" s="1" t="s">
        <v>2</v>
      </c>
      <c r="D14" t="s">
        <v>10</v>
      </c>
      <c r="E14" t="s">
        <v>11</v>
      </c>
      <c r="F14" s="1"/>
    </row>
    <row r="15" spans="1:6" x14ac:dyDescent="0.2">
      <c r="B15" s="1">
        <v>0</v>
      </c>
      <c r="C15" s="1" t="s">
        <v>2</v>
      </c>
      <c r="D15" t="s">
        <v>10</v>
      </c>
      <c r="E15" t="s">
        <v>11</v>
      </c>
    </row>
    <row r="16" spans="1:6" x14ac:dyDescent="0.2">
      <c r="B16" s="1">
        <v>0</v>
      </c>
      <c r="C16" s="1" t="s">
        <v>2</v>
      </c>
      <c r="D16" t="s">
        <v>10</v>
      </c>
      <c r="E16" t="s">
        <v>11</v>
      </c>
    </row>
    <row r="17" spans="2:5" x14ac:dyDescent="0.2">
      <c r="B17" s="1">
        <v>0</v>
      </c>
      <c r="C17" s="1" t="s">
        <v>2</v>
      </c>
      <c r="D17" t="s">
        <v>10</v>
      </c>
      <c r="E17" t="s">
        <v>11</v>
      </c>
    </row>
    <row r="18" spans="2:5" x14ac:dyDescent="0.2">
      <c r="B18" s="1">
        <v>0</v>
      </c>
      <c r="C18" s="1" t="s">
        <v>2</v>
      </c>
      <c r="D18" t="s">
        <v>10</v>
      </c>
      <c r="E18" t="s">
        <v>11</v>
      </c>
    </row>
    <row r="19" spans="2:5" x14ac:dyDescent="0.2">
      <c r="B19" s="1">
        <v>0</v>
      </c>
      <c r="C19" s="1" t="s">
        <v>2</v>
      </c>
      <c r="D19" t="s">
        <v>10</v>
      </c>
      <c r="E19" t="s">
        <v>11</v>
      </c>
    </row>
    <row r="20" spans="2:5" x14ac:dyDescent="0.2">
      <c r="B20" s="1">
        <v>0</v>
      </c>
      <c r="C20" s="1" t="s">
        <v>2</v>
      </c>
      <c r="D20" t="s">
        <v>10</v>
      </c>
      <c r="E20" t="s">
        <v>11</v>
      </c>
    </row>
    <row r="21" spans="2:5" x14ac:dyDescent="0.2">
      <c r="B21" s="1">
        <v>0</v>
      </c>
      <c r="C21" s="1" t="s">
        <v>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351C3-AC4F-1F4F-B8FC-8FAAD1194F6D}">
  <dimension ref="A1:K70"/>
  <sheetViews>
    <sheetView zoomScale="75" workbookViewId="0">
      <selection activeCell="D65" sqref="D65"/>
    </sheetView>
  </sheetViews>
  <sheetFormatPr baseColWidth="10" defaultRowHeight="16" x14ac:dyDescent="0.2"/>
  <cols>
    <col min="1" max="1" width="29.83203125" style="1" customWidth="1"/>
    <col min="2" max="2" width="23.5" style="1" customWidth="1"/>
    <col min="3" max="3" width="29.5" style="1" customWidth="1"/>
    <col min="4" max="4" width="51" customWidth="1"/>
    <col min="5" max="5" width="64.83203125" customWidth="1"/>
  </cols>
  <sheetData>
    <row r="1" spans="1:5" ht="21" thickBot="1" x14ac:dyDescent="0.3">
      <c r="A1" s="2" t="s">
        <v>5</v>
      </c>
      <c r="B1" s="2" t="s">
        <v>0</v>
      </c>
      <c r="C1" s="2" t="s">
        <v>4</v>
      </c>
      <c r="D1" s="3" t="s">
        <v>8</v>
      </c>
      <c r="E1" s="3" t="s">
        <v>9</v>
      </c>
    </row>
    <row r="2" spans="1:5" ht="17" thickTop="1" x14ac:dyDescent="0.2">
      <c r="A2" s="1" t="s">
        <v>24</v>
      </c>
      <c r="B2" s="1">
        <v>0</v>
      </c>
      <c r="C2" s="1">
        <v>0</v>
      </c>
      <c r="D2" t="s">
        <v>29</v>
      </c>
      <c r="E2" t="s">
        <v>30</v>
      </c>
    </row>
    <row r="3" spans="1:5" x14ac:dyDescent="0.2">
      <c r="A3" s="1" t="s">
        <v>24</v>
      </c>
      <c r="B3" s="1">
        <v>1</v>
      </c>
      <c r="C3" s="5">
        <v>158.06</v>
      </c>
    </row>
    <row r="4" spans="1:5" x14ac:dyDescent="0.2">
      <c r="A4" s="1" t="s">
        <v>24</v>
      </c>
      <c r="B4" s="1">
        <v>0</v>
      </c>
      <c r="C4" s="1">
        <v>0</v>
      </c>
      <c r="D4" t="s">
        <v>27</v>
      </c>
      <c r="E4" t="s">
        <v>34</v>
      </c>
    </row>
    <row r="5" spans="1:5" x14ac:dyDescent="0.2">
      <c r="A5" s="1" t="s">
        <v>24</v>
      </c>
      <c r="B5" s="1">
        <v>1</v>
      </c>
      <c r="C5" s="5">
        <v>157.16</v>
      </c>
    </row>
    <row r="6" spans="1:5" x14ac:dyDescent="0.2">
      <c r="A6" s="1" t="s">
        <v>24</v>
      </c>
      <c r="B6" s="1">
        <v>0</v>
      </c>
      <c r="C6" s="1">
        <v>0</v>
      </c>
      <c r="D6" t="s">
        <v>29</v>
      </c>
      <c r="E6" t="s">
        <v>30</v>
      </c>
    </row>
    <row r="7" spans="1:5" x14ac:dyDescent="0.2">
      <c r="A7" s="1" t="s">
        <v>24</v>
      </c>
      <c r="B7" s="1">
        <v>0</v>
      </c>
      <c r="C7" s="1">
        <v>0</v>
      </c>
      <c r="D7" t="s">
        <v>29</v>
      </c>
      <c r="E7" t="s">
        <v>30</v>
      </c>
    </row>
    <row r="8" spans="1:5" x14ac:dyDescent="0.2">
      <c r="A8" s="1" t="s">
        <v>24</v>
      </c>
      <c r="B8" s="1">
        <v>1</v>
      </c>
      <c r="C8" s="5">
        <v>155.47</v>
      </c>
    </row>
    <row r="9" spans="1:5" x14ac:dyDescent="0.2">
      <c r="A9" s="1" t="s">
        <v>24</v>
      </c>
      <c r="B9" s="1">
        <v>1</v>
      </c>
      <c r="C9" s="5">
        <v>147.58000000000001</v>
      </c>
    </row>
    <row r="10" spans="1:5" x14ac:dyDescent="0.2">
      <c r="A10" s="1" t="s">
        <v>24</v>
      </c>
      <c r="B10" s="1">
        <v>0</v>
      </c>
      <c r="C10" s="1">
        <v>0</v>
      </c>
      <c r="D10" t="s">
        <v>29</v>
      </c>
      <c r="E10" t="s">
        <v>30</v>
      </c>
    </row>
    <row r="11" spans="1:5" x14ac:dyDescent="0.2">
      <c r="A11" s="1" t="s">
        <v>24</v>
      </c>
      <c r="B11" s="1">
        <v>0</v>
      </c>
      <c r="C11" s="1">
        <v>0</v>
      </c>
      <c r="D11" t="s">
        <v>35</v>
      </c>
      <c r="E11" t="s">
        <v>16</v>
      </c>
    </row>
    <row r="12" spans="1:5" x14ac:dyDescent="0.2">
      <c r="A12" s="1" t="s">
        <v>2</v>
      </c>
      <c r="B12" s="1">
        <v>0</v>
      </c>
      <c r="C12" s="1">
        <v>0</v>
      </c>
      <c r="D12" t="s">
        <v>35</v>
      </c>
      <c r="E12" t="s">
        <v>16</v>
      </c>
    </row>
    <row r="13" spans="1:5" x14ac:dyDescent="0.2">
      <c r="A13" s="1" t="s">
        <v>2</v>
      </c>
      <c r="B13" s="1">
        <v>1</v>
      </c>
      <c r="C13" s="5">
        <v>112.4</v>
      </c>
    </row>
    <row r="14" spans="1:5" x14ac:dyDescent="0.2">
      <c r="A14" s="1" t="s">
        <v>2</v>
      </c>
      <c r="B14" s="1">
        <v>1</v>
      </c>
      <c r="C14" s="5">
        <v>115.24</v>
      </c>
    </row>
    <row r="15" spans="1:5" x14ac:dyDescent="0.2">
      <c r="A15" s="1" t="s">
        <v>2</v>
      </c>
      <c r="B15" s="1">
        <v>0</v>
      </c>
      <c r="C15" s="1">
        <v>0</v>
      </c>
      <c r="D15" t="s">
        <v>36</v>
      </c>
    </row>
    <row r="16" spans="1:5" x14ac:dyDescent="0.2">
      <c r="A16" s="1" t="s">
        <v>2</v>
      </c>
      <c r="B16" s="1">
        <v>1</v>
      </c>
      <c r="C16" s="5">
        <v>119.64</v>
      </c>
    </row>
    <row r="17" spans="1:5" x14ac:dyDescent="0.2">
      <c r="A17" s="4" t="s">
        <v>2</v>
      </c>
      <c r="B17" s="1">
        <v>1</v>
      </c>
      <c r="C17" s="5">
        <v>107.07</v>
      </c>
    </row>
    <row r="18" spans="1:5" x14ac:dyDescent="0.2">
      <c r="A18" s="4" t="s">
        <v>2</v>
      </c>
      <c r="B18" s="1">
        <v>0</v>
      </c>
      <c r="C18" s="1">
        <v>0</v>
      </c>
      <c r="D18" t="s">
        <v>29</v>
      </c>
    </row>
    <row r="19" spans="1:5" x14ac:dyDescent="0.2">
      <c r="A19" s="4" t="s">
        <v>2</v>
      </c>
      <c r="B19" s="1">
        <v>1</v>
      </c>
      <c r="C19" s="5">
        <v>108.34</v>
      </c>
    </row>
    <row r="20" spans="1:5" x14ac:dyDescent="0.2">
      <c r="A20" s="4" t="s">
        <v>2</v>
      </c>
      <c r="B20" s="1">
        <v>1</v>
      </c>
      <c r="C20" s="5">
        <v>108.07</v>
      </c>
    </row>
    <row r="21" spans="1:5" x14ac:dyDescent="0.2">
      <c r="A21" s="4" t="s">
        <v>2</v>
      </c>
      <c r="B21" s="1">
        <v>1</v>
      </c>
      <c r="C21" s="5">
        <v>115.15</v>
      </c>
    </row>
    <row r="22" spans="1:5" x14ac:dyDescent="0.2">
      <c r="A22" s="1" t="s">
        <v>3</v>
      </c>
      <c r="B22" s="1">
        <v>0</v>
      </c>
      <c r="C22" s="1">
        <v>0</v>
      </c>
      <c r="D22" t="s">
        <v>25</v>
      </c>
    </row>
    <row r="23" spans="1:5" x14ac:dyDescent="0.2">
      <c r="A23" s="1" t="s">
        <v>3</v>
      </c>
      <c r="B23" s="1">
        <v>0</v>
      </c>
      <c r="C23" s="1">
        <v>0</v>
      </c>
      <c r="D23" t="s">
        <v>26</v>
      </c>
    </row>
    <row r="24" spans="1:5" x14ac:dyDescent="0.2">
      <c r="A24" s="1" t="s">
        <v>3</v>
      </c>
      <c r="B24" s="1">
        <v>0</v>
      </c>
      <c r="C24" s="1">
        <v>0</v>
      </c>
      <c r="D24" t="s">
        <v>26</v>
      </c>
    </row>
    <row r="25" spans="1:5" x14ac:dyDescent="0.2">
      <c r="A25" s="1" t="s">
        <v>3</v>
      </c>
      <c r="B25" s="1">
        <v>0</v>
      </c>
      <c r="C25" s="1">
        <v>0</v>
      </c>
      <c r="D25" t="s">
        <v>27</v>
      </c>
      <c r="E25" t="s">
        <v>28</v>
      </c>
    </row>
    <row r="26" spans="1:5" x14ac:dyDescent="0.2">
      <c r="A26" s="1" t="s">
        <v>3</v>
      </c>
      <c r="B26" s="1">
        <v>0</v>
      </c>
      <c r="C26" s="1">
        <v>0</v>
      </c>
      <c r="D26" t="s">
        <v>29</v>
      </c>
      <c r="E26" t="s">
        <v>30</v>
      </c>
    </row>
    <row r="27" spans="1:5" x14ac:dyDescent="0.2">
      <c r="A27" s="1" t="s">
        <v>3</v>
      </c>
      <c r="B27" s="1">
        <v>0</v>
      </c>
      <c r="C27" s="1">
        <v>0</v>
      </c>
      <c r="D27" t="s">
        <v>26</v>
      </c>
    </row>
    <row r="28" spans="1:5" x14ac:dyDescent="0.2">
      <c r="A28" s="1" t="s">
        <v>3</v>
      </c>
      <c r="B28" s="1">
        <v>0</v>
      </c>
      <c r="C28" s="1">
        <v>0</v>
      </c>
      <c r="D28" t="s">
        <v>31</v>
      </c>
      <c r="E28" t="s">
        <v>30</v>
      </c>
    </row>
    <row r="29" spans="1:5" x14ac:dyDescent="0.2">
      <c r="A29" s="1" t="s">
        <v>3</v>
      </c>
      <c r="B29" s="1">
        <v>0</v>
      </c>
      <c r="C29" s="1">
        <v>0</v>
      </c>
      <c r="D29" t="s">
        <v>26</v>
      </c>
    </row>
    <row r="30" spans="1:5" x14ac:dyDescent="0.2">
      <c r="A30" s="1" t="s">
        <v>3</v>
      </c>
      <c r="B30" s="1">
        <v>0</v>
      </c>
      <c r="C30" s="1">
        <v>0</v>
      </c>
      <c r="D30" t="s">
        <v>33</v>
      </c>
      <c r="E30" t="s">
        <v>32</v>
      </c>
    </row>
    <row r="31" spans="1:5" x14ac:dyDescent="0.2">
      <c r="A31" s="1" t="s">
        <v>3</v>
      </c>
      <c r="B31" s="1">
        <v>1</v>
      </c>
      <c r="C31" s="1">
        <v>107</v>
      </c>
    </row>
    <row r="39" spans="1:5" x14ac:dyDescent="0.2">
      <c r="A39" s="1" t="s">
        <v>38</v>
      </c>
      <c r="B39" s="1" t="s">
        <v>39</v>
      </c>
      <c r="C39" s="1" t="s">
        <v>42</v>
      </c>
      <c r="D39" s="1" t="s">
        <v>41</v>
      </c>
      <c r="E39" s="1" t="s">
        <v>40</v>
      </c>
    </row>
    <row r="40" spans="1:5" x14ac:dyDescent="0.2">
      <c r="A40" s="5">
        <v>0.125</v>
      </c>
      <c r="B40" s="1">
        <f>SUM(B2:B11)</f>
        <v>4</v>
      </c>
      <c r="C40" s="1" cm="1">
        <f t="array" ref="C40">MIN(IF(C2:C11&gt;0, C2:C11))</f>
        <v>147.58000000000001</v>
      </c>
      <c r="D40">
        <f>MAX(C2:C11)</f>
        <v>158.06</v>
      </c>
      <c r="E40" s="1">
        <f>AVERAGEIF(C2:C11,"&gt;0")</f>
        <v>154.56750000000002</v>
      </c>
    </row>
    <row r="41" spans="1:5" x14ac:dyDescent="0.2">
      <c r="A41" s="5">
        <v>0.2</v>
      </c>
      <c r="B41" s="1">
        <f>SUM(B12:B21)</f>
        <v>7</v>
      </c>
      <c r="C41" s="1" cm="1">
        <f t="array" ref="C41">MIN(IF(C12:C21&gt;0, C12:C21))</f>
        <v>107.07</v>
      </c>
      <c r="D41">
        <f>MAX(C12:C21)</f>
        <v>119.64</v>
      </c>
      <c r="E41" s="1">
        <f>AVERAGEIF(C12:C21,"&gt;0")</f>
        <v>112.27285714285713</v>
      </c>
    </row>
    <row r="42" spans="1:5" x14ac:dyDescent="0.2">
      <c r="A42" s="5">
        <v>0.27500000000000002</v>
      </c>
      <c r="B42" s="1">
        <f>SUM(B22:B31)</f>
        <v>1</v>
      </c>
      <c r="C42" s="1" cm="1">
        <f t="array" ref="C42">MIN(IF(C22:C31&gt;0, C22:C31))</f>
        <v>107</v>
      </c>
      <c r="D42">
        <f>MAX(C22:C31)</f>
        <v>107</v>
      </c>
      <c r="E42" s="1">
        <f>AVERAGEIF(C22:C31,"&gt;0")</f>
        <v>107</v>
      </c>
    </row>
    <row r="60" spans="1:11" x14ac:dyDescent="0.2">
      <c r="A60" s="1" t="s">
        <v>43</v>
      </c>
      <c r="B60" s="5">
        <v>158.06</v>
      </c>
      <c r="C60" s="5">
        <v>157.16</v>
      </c>
      <c r="D60" s="5">
        <v>155.47</v>
      </c>
      <c r="E60" s="5">
        <v>147.58000000000001</v>
      </c>
      <c r="F60" s="1" t="e">
        <f>NA()</f>
        <v>#N/A</v>
      </c>
      <c r="G60" s="1" t="e">
        <f>NA()</f>
        <v>#N/A</v>
      </c>
      <c r="H60" s="1" t="e">
        <f>NA()</f>
        <v>#N/A</v>
      </c>
      <c r="I60" s="1"/>
      <c r="J60" s="1"/>
      <c r="K60" s="1"/>
    </row>
    <row r="61" spans="1:11" x14ac:dyDescent="0.2">
      <c r="A61" s="1" t="s">
        <v>44</v>
      </c>
      <c r="B61" s="5">
        <v>112.4</v>
      </c>
      <c r="C61" s="5">
        <v>115.24</v>
      </c>
      <c r="D61" s="5">
        <v>119.64</v>
      </c>
      <c r="E61" s="5">
        <v>107.07</v>
      </c>
      <c r="F61" s="5">
        <v>108.34</v>
      </c>
      <c r="G61" s="5">
        <v>108.07</v>
      </c>
      <c r="H61" s="5">
        <v>115.15</v>
      </c>
    </row>
    <row r="62" spans="1:11" x14ac:dyDescent="0.2">
      <c r="A62" s="1" t="s">
        <v>45</v>
      </c>
      <c r="B62" s="1">
        <v>107</v>
      </c>
      <c r="C62" s="1" t="e">
        <f>NA()</f>
        <v>#N/A</v>
      </c>
      <c r="D62" s="1" t="e">
        <f>NA()</f>
        <v>#N/A</v>
      </c>
      <c r="E62" s="1" t="e">
        <f>NA()</f>
        <v>#N/A</v>
      </c>
      <c r="F62" s="1" t="e">
        <f>NA()</f>
        <v>#N/A</v>
      </c>
      <c r="G62" s="1" t="e">
        <f>NA()</f>
        <v>#N/A</v>
      </c>
      <c r="H62" s="1" t="e">
        <f>NA()</f>
        <v>#N/A</v>
      </c>
    </row>
    <row r="63" spans="1:11" x14ac:dyDescent="0.2">
      <c r="B63" s="5"/>
    </row>
    <row r="64" spans="1:11" x14ac:dyDescent="0.2">
      <c r="C64" s="5"/>
    </row>
    <row r="65" spans="1:3" x14ac:dyDescent="0.2">
      <c r="C65" s="5"/>
    </row>
    <row r="66" spans="1:3" x14ac:dyDescent="0.2">
      <c r="C66" s="5"/>
    </row>
    <row r="67" spans="1:3" x14ac:dyDescent="0.2">
      <c r="A67" s="4"/>
      <c r="C67" s="5"/>
    </row>
    <row r="68" spans="1:3" x14ac:dyDescent="0.2">
      <c r="A68" s="4"/>
      <c r="C68" s="5"/>
    </row>
    <row r="69" spans="1:3" x14ac:dyDescent="0.2">
      <c r="A69" s="4"/>
      <c r="C69" s="5"/>
    </row>
    <row r="70" spans="1:3" x14ac:dyDescent="0.2">
      <c r="A70" s="4"/>
      <c r="C70" s="5"/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236ED-8A72-4043-BDD7-9522FAFB542C}">
  <dimension ref="A1:N54"/>
  <sheetViews>
    <sheetView tabSelected="1" topLeftCell="A19" zoomScale="108" workbookViewId="0">
      <selection activeCell="A24" sqref="A24:B54"/>
    </sheetView>
  </sheetViews>
  <sheetFormatPr baseColWidth="10" defaultRowHeight="16" x14ac:dyDescent="0.2"/>
  <cols>
    <col min="1" max="1" width="22.5" customWidth="1"/>
    <col min="2" max="2" width="10.83203125" customWidth="1"/>
    <col min="3" max="3" width="10.33203125" customWidth="1"/>
  </cols>
  <sheetData>
    <row r="1" spans="1:11" x14ac:dyDescent="0.2">
      <c r="C1" s="1"/>
      <c r="D1" s="1"/>
      <c r="E1" s="1"/>
      <c r="F1" s="1"/>
      <c r="G1" s="1"/>
      <c r="H1" s="1"/>
      <c r="I1" s="1"/>
      <c r="J1" s="1"/>
      <c r="K1" s="1"/>
    </row>
    <row r="2" spans="1:11" x14ac:dyDescent="0.2">
      <c r="A2" t="s">
        <v>37</v>
      </c>
      <c r="B2" t="s">
        <v>20</v>
      </c>
      <c r="C2" s="1"/>
      <c r="D2" s="1"/>
      <c r="E2" s="1"/>
      <c r="F2" s="1"/>
      <c r="G2" s="1"/>
      <c r="H2" s="1"/>
      <c r="I2" s="1"/>
      <c r="J2" s="1"/>
      <c r="K2" s="1"/>
    </row>
    <row r="3" spans="1:11" x14ac:dyDescent="0.2">
      <c r="A3" s="1" t="s">
        <v>23</v>
      </c>
      <c r="B3" s="1">
        <v>2</v>
      </c>
      <c r="C3" s="1"/>
      <c r="D3" s="1"/>
      <c r="E3" s="1"/>
      <c r="F3" s="1"/>
      <c r="G3" s="1"/>
      <c r="H3" s="1"/>
      <c r="I3" s="1"/>
      <c r="J3" s="1"/>
      <c r="K3" s="1"/>
    </row>
    <row r="4" spans="1:11" x14ac:dyDescent="0.2">
      <c r="A4" s="1" t="s">
        <v>22</v>
      </c>
      <c r="B4" s="1">
        <v>8</v>
      </c>
    </row>
    <row r="5" spans="1:11" x14ac:dyDescent="0.2">
      <c r="A5" s="1" t="s">
        <v>21</v>
      </c>
      <c r="B5" s="1">
        <v>6</v>
      </c>
    </row>
    <row r="23" spans="1:14" x14ac:dyDescent="0.2">
      <c r="M23" s="1"/>
      <c r="N23" s="1"/>
    </row>
    <row r="24" spans="1:14" x14ac:dyDescent="0.2">
      <c r="A24" t="s">
        <v>46</v>
      </c>
      <c r="B24" t="s">
        <v>20</v>
      </c>
      <c r="M24" s="1"/>
    </row>
    <row r="25" spans="1:14" x14ac:dyDescent="0.2">
      <c r="A25" s="1" t="s">
        <v>23</v>
      </c>
      <c r="B25" s="4">
        <v>0</v>
      </c>
      <c r="M25" s="1"/>
    </row>
    <row r="26" spans="1:14" x14ac:dyDescent="0.2">
      <c r="A26" s="1" t="s">
        <v>23</v>
      </c>
      <c r="B26" s="4">
        <v>0</v>
      </c>
      <c r="M26" s="1"/>
    </row>
    <row r="27" spans="1:14" x14ac:dyDescent="0.2">
      <c r="A27" s="1" t="s">
        <v>23</v>
      </c>
      <c r="B27" s="4">
        <v>0</v>
      </c>
      <c r="M27" s="1"/>
    </row>
    <row r="28" spans="1:14" x14ac:dyDescent="0.2">
      <c r="A28" s="1" t="s">
        <v>23</v>
      </c>
      <c r="B28" s="4">
        <v>0</v>
      </c>
      <c r="M28" s="1"/>
    </row>
    <row r="29" spans="1:14" x14ac:dyDescent="0.2">
      <c r="A29" s="1" t="s">
        <v>23</v>
      </c>
      <c r="B29" s="4">
        <v>0</v>
      </c>
      <c r="M29" s="1"/>
    </row>
    <row r="30" spans="1:14" x14ac:dyDescent="0.2">
      <c r="A30" s="1" t="s">
        <v>23</v>
      </c>
      <c r="B30" s="4">
        <v>1</v>
      </c>
      <c r="M30" s="1"/>
    </row>
    <row r="31" spans="1:14" x14ac:dyDescent="0.2">
      <c r="A31" s="1" t="s">
        <v>23</v>
      </c>
      <c r="B31" s="4">
        <v>0</v>
      </c>
      <c r="M31" s="1"/>
    </row>
    <row r="32" spans="1:14" x14ac:dyDescent="0.2">
      <c r="A32" s="1" t="s">
        <v>23</v>
      </c>
      <c r="B32" s="4">
        <v>0</v>
      </c>
      <c r="M32" s="1"/>
    </row>
    <row r="33" spans="1:13" x14ac:dyDescent="0.2">
      <c r="A33" s="1" t="s">
        <v>23</v>
      </c>
      <c r="B33" s="4">
        <v>1</v>
      </c>
      <c r="M33" s="1"/>
    </row>
    <row r="34" spans="1:13" x14ac:dyDescent="0.2">
      <c r="A34" s="1" t="s">
        <v>23</v>
      </c>
      <c r="B34" s="4">
        <v>0</v>
      </c>
    </row>
    <row r="35" spans="1:13" x14ac:dyDescent="0.2">
      <c r="A35" s="1" t="s">
        <v>22</v>
      </c>
      <c r="B35" s="1">
        <v>1</v>
      </c>
    </row>
    <row r="36" spans="1:13" x14ac:dyDescent="0.2">
      <c r="A36" s="1" t="s">
        <v>22</v>
      </c>
      <c r="B36" s="1">
        <v>1</v>
      </c>
    </row>
    <row r="37" spans="1:13" x14ac:dyDescent="0.2">
      <c r="A37" s="1" t="s">
        <v>22</v>
      </c>
      <c r="B37" s="1">
        <v>1</v>
      </c>
    </row>
    <row r="38" spans="1:13" x14ac:dyDescent="0.2">
      <c r="A38" s="1" t="s">
        <v>22</v>
      </c>
      <c r="B38" s="1">
        <v>1</v>
      </c>
    </row>
    <row r="39" spans="1:13" x14ac:dyDescent="0.2">
      <c r="A39" s="1" t="s">
        <v>22</v>
      </c>
      <c r="B39" s="1">
        <v>1</v>
      </c>
    </row>
    <row r="40" spans="1:13" x14ac:dyDescent="0.2">
      <c r="A40" s="1" t="s">
        <v>22</v>
      </c>
      <c r="B40" s="1">
        <v>1</v>
      </c>
    </row>
    <row r="41" spans="1:13" x14ac:dyDescent="0.2">
      <c r="A41" s="1" t="s">
        <v>22</v>
      </c>
      <c r="B41" s="1">
        <v>0</v>
      </c>
    </row>
    <row r="42" spans="1:13" x14ac:dyDescent="0.2">
      <c r="A42" s="1" t="s">
        <v>22</v>
      </c>
      <c r="B42" s="1">
        <v>0</v>
      </c>
    </row>
    <row r="43" spans="1:13" x14ac:dyDescent="0.2">
      <c r="A43" s="1" t="s">
        <v>22</v>
      </c>
      <c r="B43" s="1">
        <v>1</v>
      </c>
    </row>
    <row r="44" spans="1:13" x14ac:dyDescent="0.2">
      <c r="A44" s="1" t="s">
        <v>22</v>
      </c>
      <c r="B44" s="1">
        <v>1</v>
      </c>
    </row>
    <row r="45" spans="1:13" x14ac:dyDescent="0.2">
      <c r="A45" s="1" t="s">
        <v>21</v>
      </c>
      <c r="B45" s="1">
        <v>1</v>
      </c>
    </row>
    <row r="46" spans="1:13" x14ac:dyDescent="0.2">
      <c r="A46" s="1" t="s">
        <v>21</v>
      </c>
      <c r="B46" s="1">
        <v>1</v>
      </c>
    </row>
    <row r="47" spans="1:13" x14ac:dyDescent="0.2">
      <c r="A47" s="1" t="s">
        <v>21</v>
      </c>
      <c r="B47" s="1">
        <v>1</v>
      </c>
    </row>
    <row r="48" spans="1:13" x14ac:dyDescent="0.2">
      <c r="A48" s="1" t="s">
        <v>21</v>
      </c>
      <c r="B48" s="1">
        <v>1</v>
      </c>
    </row>
    <row r="49" spans="1:2" x14ac:dyDescent="0.2">
      <c r="A49" s="1" t="s">
        <v>21</v>
      </c>
      <c r="B49" s="1">
        <v>0</v>
      </c>
    </row>
    <row r="50" spans="1:2" x14ac:dyDescent="0.2">
      <c r="A50" s="1" t="s">
        <v>21</v>
      </c>
      <c r="B50" s="1">
        <v>0</v>
      </c>
    </row>
    <row r="51" spans="1:2" x14ac:dyDescent="0.2">
      <c r="A51" s="1" t="s">
        <v>21</v>
      </c>
      <c r="B51" s="1">
        <v>1</v>
      </c>
    </row>
    <row r="52" spans="1:2" x14ac:dyDescent="0.2">
      <c r="A52" s="1" t="s">
        <v>21</v>
      </c>
      <c r="B52" s="1">
        <v>0</v>
      </c>
    </row>
    <row r="53" spans="1:2" x14ac:dyDescent="0.2">
      <c r="A53" s="1" t="s">
        <v>21</v>
      </c>
      <c r="B53" s="1">
        <v>1</v>
      </c>
    </row>
    <row r="54" spans="1:2" x14ac:dyDescent="0.2">
      <c r="A54" s="1" t="s">
        <v>21</v>
      </c>
      <c r="B54" s="1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dirty wheel</vt:lpstr>
      <vt:lpstr>Rene dæk</vt:lpstr>
      <vt:lpstr>Wheel condition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Ørsted Povey Andersen</dc:creator>
  <cp:lastModifiedBy>Mathias Balling Christiansen</cp:lastModifiedBy>
  <dcterms:created xsi:type="dcterms:W3CDTF">2025-12-11T09:33:57Z</dcterms:created>
  <dcterms:modified xsi:type="dcterms:W3CDTF">2025-12-15T11:49:31Z</dcterms:modified>
</cp:coreProperties>
</file>